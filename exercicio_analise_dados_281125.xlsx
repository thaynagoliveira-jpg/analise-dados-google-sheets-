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<sst xmlns="http://schemas.openxmlformats.org/spreadsheetml/2006/main" count="37" uniqueCount="28">
  <si>
    <t>id_pessoa</t>
  </si>
  <si>
    <t>nome_pessoa</t>
  </si>
  <si>
    <t>idade_pessoa</t>
  </si>
  <si>
    <t>cidade_pessoa</t>
  </si>
  <si>
    <t>status_pessoa</t>
  </si>
  <si>
    <t>Consultas do sistema</t>
  </si>
  <si>
    <t>Respostas</t>
  </si>
  <si>
    <t>André</t>
  </si>
  <si>
    <t>Santo André</t>
  </si>
  <si>
    <t>Quantos usuários estão inativos?</t>
  </si>
  <si>
    <t>Aline</t>
  </si>
  <si>
    <t>Itapeva</t>
  </si>
  <si>
    <t>Qual a média das idades dos usuários?</t>
  </si>
  <si>
    <t>Paulo</t>
  </si>
  <si>
    <t>São Paulo</t>
  </si>
  <si>
    <t>Qual a maior idade?</t>
  </si>
  <si>
    <t>Paola</t>
  </si>
  <si>
    <t>Qual a menor idade?</t>
  </si>
  <si>
    <t>Luiz</t>
  </si>
  <si>
    <t>Samuel</t>
  </si>
  <si>
    <t>Rio de Janeiro</t>
  </si>
  <si>
    <t>Perguntas específicas</t>
  </si>
  <si>
    <t xml:space="preserve">Marcelo </t>
  </si>
  <si>
    <t>Quantos usuários são de SP?</t>
  </si>
  <si>
    <t>Chris</t>
  </si>
  <si>
    <t>Qual a média das idades de Santo André?</t>
  </si>
  <si>
    <t>Consultas</t>
  </si>
  <si>
    <t>3P25S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</si>
</sst>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solid">
          <fgColor theme="5"/>
          <bgColor theme="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Tabela_1" name="Tabela_1" id="1">
  <tableColumns count="5">
    <tableColumn name="id_pessoa" id="1"/>
    <tableColumn name="nome_pessoa" id="2"/>
    <tableColumn name="idade_pessoa" id="3"/>
    <tableColumn name="cidade_pessoa" id="4"/>
    <tableColumn name="status_pessoa" id="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5.88"/>
    <col customWidth="1" min="3" max="3" width="15.75"/>
    <col customWidth="1" min="4" max="4" width="19.88"/>
    <col customWidth="1" min="5" max="5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J1" s="2" t="s">
        <v>6</v>
      </c>
    </row>
    <row r="2" ht="22.5" customHeight="1">
      <c r="A2" s="3" t="str">
        <f t="shared" ref="A2:A9" si="1">ROW(A1)&amp;LEFT(B2,1)&amp;C2&amp;LEFT(D2,1)</f>
        <v>1A35S</v>
      </c>
      <c r="B2" s="4" t="s">
        <v>7</v>
      </c>
      <c r="C2" s="4">
        <v>35.0</v>
      </c>
      <c r="D2" s="5" t="s">
        <v>8</v>
      </c>
      <c r="E2" s="6" t="b">
        <v>1</v>
      </c>
      <c r="G2" s="2" t="s">
        <v>9</v>
      </c>
      <c r="J2" s="7">
        <f>COUNTIF(E:E,"False")</f>
        <v>4</v>
      </c>
    </row>
    <row r="3" ht="22.5" customHeight="1">
      <c r="A3" s="3" t="str">
        <f t="shared" si="1"/>
        <v>2A27I</v>
      </c>
      <c r="B3" s="4" t="s">
        <v>10</v>
      </c>
      <c r="C3" s="4">
        <v>27.0</v>
      </c>
      <c r="D3" s="5" t="s">
        <v>11</v>
      </c>
      <c r="E3" s="6" t="b">
        <v>0</v>
      </c>
      <c r="G3" s="2" t="s">
        <v>12</v>
      </c>
      <c r="J3" s="7">
        <f>AVERAGE(C:C)</f>
        <v>30</v>
      </c>
    </row>
    <row r="4" ht="22.5" customHeight="1">
      <c r="A4" s="3" t="str">
        <f t="shared" si="1"/>
        <v>3P25S</v>
      </c>
      <c r="B4" s="4" t="s">
        <v>13</v>
      </c>
      <c r="C4" s="4">
        <v>25.0</v>
      </c>
      <c r="D4" s="5" t="s">
        <v>14</v>
      </c>
      <c r="E4" s="6" t="b">
        <v>1</v>
      </c>
      <c r="G4" s="2" t="s">
        <v>15</v>
      </c>
      <c r="J4" s="7">
        <f>LARGE(C:C,1)</f>
        <v>35</v>
      </c>
    </row>
    <row r="5" ht="22.5" customHeight="1">
      <c r="A5" s="3" t="str">
        <f t="shared" si="1"/>
        <v>4P19S</v>
      </c>
      <c r="B5" s="4" t="s">
        <v>16</v>
      </c>
      <c r="C5" s="4">
        <v>19.0</v>
      </c>
      <c r="D5" s="5" t="s">
        <v>14</v>
      </c>
      <c r="E5" s="6" t="b">
        <v>0</v>
      </c>
      <c r="G5" s="2" t="s">
        <v>17</v>
      </c>
      <c r="J5" s="7">
        <f>SMALL(C:C,1)</f>
        <v>19</v>
      </c>
    </row>
    <row r="6" ht="22.5" customHeight="1">
      <c r="A6" s="3" t="str">
        <f t="shared" si="1"/>
        <v>5L31S</v>
      </c>
      <c r="B6" s="4" t="s">
        <v>18</v>
      </c>
      <c r="C6" s="4">
        <v>31.0</v>
      </c>
      <c r="D6" s="5" t="s">
        <v>14</v>
      </c>
      <c r="E6" s="6" t="b">
        <v>1</v>
      </c>
    </row>
    <row r="7" ht="22.5" customHeight="1">
      <c r="A7" s="3" t="str">
        <f t="shared" si="1"/>
        <v>6S33R</v>
      </c>
      <c r="B7" s="4" t="s">
        <v>19</v>
      </c>
      <c r="C7" s="4">
        <v>33.0</v>
      </c>
      <c r="D7" s="5" t="s">
        <v>20</v>
      </c>
      <c r="E7" s="6" t="b">
        <v>0</v>
      </c>
      <c r="G7" s="2" t="s">
        <v>21</v>
      </c>
      <c r="J7" s="2" t="s">
        <v>6</v>
      </c>
    </row>
    <row r="8" ht="22.5" customHeight="1">
      <c r="A8" s="3" t="str">
        <f t="shared" si="1"/>
        <v>7M35S</v>
      </c>
      <c r="B8" s="4" t="s">
        <v>22</v>
      </c>
      <c r="C8" s="4">
        <v>35.0</v>
      </c>
      <c r="D8" s="5" t="s">
        <v>8</v>
      </c>
      <c r="E8" s="6" t="b">
        <v>1</v>
      </c>
      <c r="G8" s="2" t="s">
        <v>23</v>
      </c>
      <c r="J8" s="7">
        <f>COUNTIF(D:D,"São Paulo")</f>
        <v>3</v>
      </c>
    </row>
    <row r="9" ht="22.5" customHeight="1">
      <c r="A9" s="3" t="str">
        <f t="shared" si="1"/>
        <v>8C35S</v>
      </c>
      <c r="B9" s="4" t="s">
        <v>24</v>
      </c>
      <c r="C9" s="4">
        <v>35.0</v>
      </c>
      <c r="D9" s="5" t="s">
        <v>8</v>
      </c>
      <c r="E9" s="6" t="b">
        <v>0</v>
      </c>
      <c r="G9" s="2" t="s">
        <v>25</v>
      </c>
      <c r="J9" s="7">
        <f>AVERAGEIF(D:D,"Santo André",C:C)</f>
        <v>35</v>
      </c>
    </row>
    <row r="11">
      <c r="G11" s="2" t="s">
        <v>26</v>
      </c>
      <c r="J11" s="2" t="s">
        <v>1</v>
      </c>
      <c r="K11" s="2" t="s">
        <v>2</v>
      </c>
      <c r="L11" s="2" t="s">
        <v>3</v>
      </c>
      <c r="M11" s="2" t="s">
        <v>4</v>
      </c>
    </row>
    <row r="12">
      <c r="G12" s="2" t="s">
        <v>27</v>
      </c>
      <c r="J12" s="7" t="str">
        <f>VLOOKUP($G$12,Tabela_1[],2,0)</f>
        <v>Paulo</v>
      </c>
      <c r="K12" s="7">
        <f>VLOOKUP($G$12,Tabela_1[],3,0)</f>
        <v>25</v>
      </c>
      <c r="L12" s="7" t="str">
        <f>VLOOKUP($G$12,Tabela_1[],4,0)</f>
        <v>São Paulo</v>
      </c>
      <c r="M12" s="7" t="b">
        <f>VLOOKUP($G$12,Tabela_1[],5,0)</f>
        <v>1</v>
      </c>
    </row>
  </sheetData>
  <conditionalFormatting sqref="E1:E1000">
    <cfRule type="cellIs" dxfId="0" priority="1" operator="equal">
      <formula>"FALSE"</formula>
    </cfRule>
  </conditionalFormatting>
  <dataValidations>
    <dataValidation type="list" allowBlank="1" showErrorMessage="1" sqref="G12">
      <formula1>Tabela_1[id_pessoa]</formula1>
    </dataValidation>
    <dataValidation type="list" allowBlank="1" sqref="D2:D9">
      <formula1>"Santo André,Itapeva,São Paulo,Rio de Janeiro"</formula1>
    </dataValidation>
  </dataValidations>
  <drawing r:id="rId1"/>
  <tableParts count="1">
    <tablePart r:id="rId3"/>
  </tableParts>
</worksheet>
</file>